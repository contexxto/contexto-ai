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Costo de servir" sheetId="2" state="visible" r:id="rId2"/>
    <sheet xmlns:r="http://schemas.openxmlformats.org/officeDocument/2006/relationships" name="Los 3 numeros" sheetId="3" state="visible" r:id="rId3"/>
    <sheet xmlns:r="http://schemas.openxmlformats.org/officeDocument/2006/relationships" name="Ancla de valor (me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$#,##0;($#,##0);-"/>
    <numFmt numFmtId="166" formatCode="0.0%"/>
    <numFmt numFmtId="167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666666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i val="1"/>
      <color rgb="00C00000"/>
      <sz val="9"/>
    </font>
    <font>
      <name val="Arial"/>
      <b val="1"/>
      <sz val="10"/>
    </font>
    <font>
      <name val="Arial"/>
      <color rgb="00666666"/>
      <sz val="10"/>
    </font>
    <font>
      <name val="Arial"/>
      <i val="1"/>
      <color rgb="00666666"/>
      <sz val="10"/>
    </font>
    <font>
      <name val="Arial"/>
      <b val="1"/>
      <color rgb="001A3A5C"/>
      <sz val="12"/>
    </font>
    <font>
      <name val="Arial"/>
      <b val="1"/>
      <color rgb="001A3A5C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0" fontId="6" fillId="3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0" fontId="8" fillId="0" borderId="0" pivotButton="0" quotePrefix="0" xfId="0"/>
    <xf numFmtId="165" fontId="5" fillId="0" borderId="1" pivotButton="0" quotePrefix="0" xfId="0"/>
    <xf numFmtId="0" fontId="9" fillId="4" borderId="1" pivotButton="0" quotePrefix="0" xfId="0"/>
    <xf numFmtId="165" fontId="9" fillId="4" borderId="1" pivotButton="0" quotePrefix="0" xfId="0"/>
    <xf numFmtId="0" fontId="2" fillId="4" borderId="1" pivotButton="0" quotePrefix="0" xfId="0"/>
    <xf numFmtId="167" fontId="5" fillId="0" borderId="1" pivotButton="0" quotePrefix="0" xfId="0"/>
    <xf numFmtId="0" fontId="4" fillId="2" borderId="1" applyAlignment="1" pivotButton="0" quotePrefix="0" xfId="0">
      <alignment horizontal="left"/>
    </xf>
    <xf numFmtId="0" fontId="10" fillId="0" borderId="1" pivotButton="0" quotePrefix="0" xfId="0"/>
    <xf numFmtId="165" fontId="10" fillId="0" borderId="1" pivotButton="0" quotePrefix="0" xfId="0"/>
    <xf numFmtId="0" fontId="9" fillId="5" borderId="1" pivotButton="0" quotePrefix="0" xfId="0"/>
    <xf numFmtId="165" fontId="9" fillId="5" borderId="1" pivotButton="0" quotePrefix="0" xfId="0"/>
    <xf numFmtId="0" fontId="2" fillId="5" borderId="1" pivotButton="0" quotePrefix="0" xfId="0"/>
    <xf numFmtId="0" fontId="9" fillId="6" borderId="1" pivotButton="0" quotePrefix="0" xfId="0"/>
    <xf numFmtId="165" fontId="9" fillId="6" borderId="1" pivotButton="0" quotePrefix="0" xfId="0"/>
    <xf numFmtId="0" fontId="2" fillId="6" borderId="1" pivotButton="0" quotePrefix="0" xfId="0"/>
    <xf numFmtId="0" fontId="9" fillId="7" borderId="1" pivotButton="0" quotePrefix="0" xfId="0"/>
    <xf numFmtId="165" fontId="9" fillId="7" borderId="1" pivotButton="0" quotePrefix="0" xfId="0"/>
    <xf numFmtId="0" fontId="2" fillId="7" borderId="1" pivotButton="0" quotePrefix="0" xfId="0"/>
    <xf numFmtId="0" fontId="11" fillId="0" borderId="1" pivotButton="0" quotePrefix="0" xfId="0"/>
    <xf numFmtId="165" fontId="11" fillId="0" borderId="1" pivotButton="0" quotePrefix="0" xfId="0"/>
    <xf numFmtId="0" fontId="12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3" customWidth="1" min="4" max="4"/>
    <col width="58" customWidth="1" min="5" max="5"/>
  </cols>
  <sheetData>
    <row r="2">
      <c r="B2" s="1" t="inlineStr">
        <is>
          <t>MESA MAKLO — Modelo de los 3 numeros</t>
        </is>
      </c>
    </row>
    <row r="3">
      <c r="B3" s="2" t="inlineStr">
        <is>
          <t>Cierra la tarea ALTA del red-team (PREP_Mesa_MAKLO_interno.md §1). USO INTERNO — no se presenta.</t>
        </is>
      </c>
    </row>
    <row r="4">
      <c r="B4" s="3" t="inlineStr">
        <is>
          <t>LEGENDA: celdas AMARILLAS = tu dato, reemplazalas. Azul = input. Negro = formula (no tocar).</t>
        </is>
      </c>
    </row>
    <row r="6">
      <c r="B6" s="4" t="inlineStr">
        <is>
          <t>1 · TU COSTO (lo unico que fija el PISO)</t>
        </is>
      </c>
      <c r="C6" s="5" t="inlineStr">
        <is>
          <t>Valor</t>
        </is>
      </c>
      <c r="D6" s="5" t="inlineStr">
        <is>
          <t>Unidad</t>
        </is>
      </c>
      <c r="E6" s="4" t="inlineStr">
        <is>
          <t>De donde sale / nota</t>
        </is>
      </c>
    </row>
    <row r="7">
      <c r="B7" s="6" t="inlineStr">
        <is>
          <t>Tu tarifa-hora objetivo</t>
        </is>
      </c>
      <c r="C7" s="7" t="n">
        <v>35</v>
      </c>
      <c r="D7" s="8" t="inlineStr">
        <is>
          <t>$/hora</t>
        </is>
      </c>
      <c r="E7" s="9" t="inlineStr">
        <is>
          <t>HIPOTESIS. Tu costo de oportunidad real por hora dedicada.</t>
        </is>
      </c>
    </row>
    <row r="8">
      <c r="B8" s="6" t="inlineStr">
        <is>
          <t>Costo infra mensual asignable al proyecto</t>
        </is>
      </c>
      <c r="C8" s="7" t="n">
        <v>40</v>
      </c>
      <c r="D8" s="8" t="inlineStr">
        <is>
          <t>$/mes</t>
        </is>
      </c>
      <c r="E8" s="9" t="inlineStr">
        <is>
          <t>HIPOTESIS. Hosting+DB+dominio+storage atribuible.</t>
        </is>
      </c>
    </row>
    <row r="9">
      <c r="B9" s="6" t="inlineStr">
        <is>
          <t>Costo de inferencia por conversacion</t>
        </is>
      </c>
      <c r="C9" s="10" t="n">
        <v>0.12</v>
      </c>
      <c r="D9" s="8" t="inlineStr">
        <is>
          <t>$/conv</t>
        </is>
      </c>
      <c r="E9" s="9" t="inlineStr">
        <is>
          <t>HIPOTESIS. MEDIBLE con precision (API por tokens). Medilo antes de la mesa.</t>
        </is>
      </c>
    </row>
    <row r="10">
      <c r="B10" s="6" t="inlineStr">
        <is>
          <t>COGS WhatsApp por conversacion</t>
        </is>
      </c>
      <c r="C10" s="10" t="n">
        <v>0.08</v>
      </c>
      <c r="D10" s="8" t="inlineStr">
        <is>
          <t>$/conv</t>
        </is>
      </c>
      <c r="E10" s="9" t="inlineStr">
        <is>
          <t>HIPOTESIS. Meta cobra conversaciones respondidas desde 01-10-2026 (tesis Senales-Brain).</t>
        </is>
      </c>
    </row>
    <row r="12">
      <c r="B12" s="4" t="inlineStr">
        <is>
          <t>2 · MONTAJE (setup, una sola vez)</t>
        </is>
      </c>
      <c r="C12" s="5" t="inlineStr">
        <is>
          <t>Valor</t>
        </is>
      </c>
      <c r="D12" s="5" t="inlineStr">
        <is>
          <t>Unidad</t>
        </is>
      </c>
      <c r="E12" s="4" t="inlineStr">
        <is>
          <t>De donde sale / nota</t>
        </is>
      </c>
    </row>
    <row r="13">
      <c r="B13" s="6" t="inlineStr">
        <is>
          <t>Horas de montaje del storefront (a mano)</t>
        </is>
      </c>
      <c r="C13" s="7" t="n">
        <v>40</v>
      </c>
      <c r="D13" s="8" t="inlineStr">
        <is>
          <t>horas</t>
        </is>
      </c>
      <c r="E13" s="9" t="inlineStr">
        <is>
          <t>Modulo A. Plantilla parametrizada + carga del proyecto.</t>
        </is>
      </c>
    </row>
    <row r="14">
      <c r="B14" s="6" t="inlineStr">
        <is>
          <t>Unidades del proyecto</t>
        </is>
      </c>
      <c r="C14" s="7" t="n">
        <v>20</v>
      </c>
      <c r="D14" s="8" t="inlineStr">
        <is>
          <t>unidades</t>
        </is>
      </c>
      <c r="E14" s="9" t="inlineStr">
        <is>
          <t>Confirmar en la mesa (checklist §6). Afecta carga de fichas.</t>
        </is>
      </c>
    </row>
    <row r="15">
      <c r="B15" s="6" t="inlineStr">
        <is>
          <t>Horas de carga/ficha por unidad</t>
        </is>
      </c>
      <c r="C15" s="7" t="n">
        <v>0.5</v>
      </c>
      <c r="D15" s="8" t="inlineStr">
        <is>
          <t>h/unidad</t>
        </is>
      </c>
      <c r="E15" s="9" t="inlineStr">
        <is>
          <t>Specs por unidad en tabla estructurada (sin RAG, ~20 unidades).</t>
        </is>
      </c>
    </row>
    <row r="16">
      <c r="B16" s="6" t="inlineStr">
        <is>
          <t>Horas de verificacion en terreno (eje La Concepcion)</t>
        </is>
      </c>
      <c r="C16" s="7" t="n">
        <v>16</v>
      </c>
      <c r="D16" s="8" t="inlineStr">
        <is>
          <t>horas</t>
        </is>
      </c>
      <c r="E16" s="9" t="inlineStr">
        <is>
          <t>Modulo A. Isocronas peatonales reales + POIs + sello y fecha.</t>
        </is>
      </c>
    </row>
    <row r="17">
      <c r="B17" s="6" t="inlineStr">
        <is>
          <t>Transporte / logistica de verificacion</t>
        </is>
      </c>
      <c r="C17" s="11" t="n">
        <v>60</v>
      </c>
      <c r="D17" s="8" t="inlineStr">
        <is>
          <t>$</t>
        </is>
      </c>
      <c r="E17" s="9" t="inlineStr">
        <is>
          <t>HIPOTESIS. Movilidad para la verificacion en terreno.</t>
        </is>
      </c>
    </row>
    <row r="18">
      <c r="B18" s="6" t="inlineStr">
        <is>
          <t>Horas de entrenamiento del agente para el proyecto</t>
        </is>
      </c>
      <c r="C18" s="7" t="n">
        <v>12</v>
      </c>
      <c r="D18" s="8" t="inlineStr">
        <is>
          <t>horas</t>
        </is>
      </c>
      <c r="E18" s="9" t="inlineStr">
        <is>
          <t>Modulo B. Flujo de calificacion + guardrails + specs.</t>
        </is>
      </c>
    </row>
    <row r="19">
      <c r="B19" s="6" t="inlineStr">
        <is>
          <t>Produccion de QR / valla</t>
        </is>
      </c>
      <c r="C19" s="11" t="n">
        <v>50</v>
      </c>
      <c r="D19" s="8" t="inlineStr">
        <is>
          <t>$</t>
        </is>
      </c>
      <c r="E19" s="9" t="inlineStr">
        <is>
          <t>HIPOTESIS. Confirmar si lo cubre MAKLO.</t>
        </is>
      </c>
    </row>
    <row r="21">
      <c r="B21" s="4" t="inlineStr">
        <is>
          <t>3 · OPERACION (mensual, durante el mandato)</t>
        </is>
      </c>
      <c r="C21" s="5" t="inlineStr">
        <is>
          <t>Valor</t>
        </is>
      </c>
      <c r="D21" s="5" t="inlineStr">
        <is>
          <t>Unidad</t>
        </is>
      </c>
      <c r="E21" s="4" t="inlineStr">
        <is>
          <t>De donde sale / nota</t>
        </is>
      </c>
    </row>
    <row r="22">
      <c r="B22" s="6" t="inlineStr">
        <is>
          <t>Conversaciones estimadas por mes</t>
        </is>
      </c>
      <c r="C22" s="7" t="n">
        <v>250</v>
      </c>
      <c r="D22" s="8" t="inlineStr">
        <is>
          <t>conv/mes</t>
        </is>
      </c>
      <c r="E22" s="9" t="inlineStr">
        <is>
          <t>HIPOTESIS CRITICA. Escala el costo variable. Calibrar con pauta real.</t>
        </is>
      </c>
    </row>
    <row r="23">
      <c r="B23" s="6" t="inlineStr">
        <is>
          <t>Horas/mes de operacion de campana</t>
        </is>
      </c>
      <c r="C23" s="7" t="n">
        <v>10</v>
      </c>
      <c r="D23" s="8" t="inlineStr">
        <is>
          <t>horas/mes</t>
        </is>
      </c>
      <c r="E23" s="9" t="inlineStr">
        <is>
          <t>Modulo C. Diseno + operacion + optimizacion de pauta.</t>
        </is>
      </c>
    </row>
    <row r="24">
      <c r="B24" s="6" t="inlineStr">
        <is>
          <t>Horas/mes de reporte semanal</t>
        </is>
      </c>
      <c r="C24" s="7" t="n">
        <v>4</v>
      </c>
      <c r="D24" s="8" t="inlineStr">
        <is>
          <t>horas/mes</t>
        </is>
      </c>
      <c r="E24" s="9" t="inlineStr">
        <is>
          <t>Modulo E. 4 reportes/mes, ~1h c/u.</t>
        </is>
      </c>
    </row>
    <row r="25">
      <c r="B25" s="6" t="inlineStr">
        <is>
          <t>Horas/mes de re-verificacion periodica</t>
        </is>
      </c>
      <c r="C25" s="7" t="n">
        <v>3</v>
      </c>
      <c r="D25" s="8" t="inlineStr">
        <is>
          <t>horas/mes</t>
        </is>
      </c>
      <c r="E25" s="9" t="inlineStr">
        <is>
          <t>Fase 2: 'un sello viejo es peor que ninguno'.</t>
        </is>
      </c>
    </row>
    <row r="26">
      <c r="B26" s="6" t="inlineStr">
        <is>
          <t>Horas/mes de soporte y coordinacion</t>
        </is>
      </c>
      <c r="C26" s="7" t="n">
        <v>4</v>
      </c>
      <c r="D26" s="8" t="inlineStr">
        <is>
          <t>horas/mes</t>
        </is>
      </c>
      <c r="E26" s="9" t="inlineStr">
        <is>
          <t>Atencion al cliente, ajustes, reuniones.</t>
        </is>
      </c>
    </row>
    <row r="28">
      <c r="B28" s="4" t="inlineStr">
        <is>
          <t>4 · MARGEN Y PLAZO (tus palancas de negociacion)</t>
        </is>
      </c>
      <c r="C28" s="5" t="inlineStr">
        <is>
          <t>Valor</t>
        </is>
      </c>
      <c r="D28" s="5" t="inlineStr">
        <is>
          <t>Unidad</t>
        </is>
      </c>
      <c r="E28" s="4" t="inlineStr">
        <is>
          <t>De donde sale / nota</t>
        </is>
      </c>
    </row>
    <row r="29">
      <c r="B29" s="6" t="inlineStr">
        <is>
          <t>Margen MINIMO aceptable (define el PISO)</t>
        </is>
      </c>
      <c r="C29" s="12" t="n">
        <v>0.2</v>
      </c>
      <c r="D29" s="8" t="inlineStr">
        <is>
          <t>%</t>
        </is>
      </c>
      <c r="E29" s="9" t="inlineStr">
        <is>
          <t>Por debajo trabajas a perdida. Innegociable.</t>
        </is>
      </c>
    </row>
    <row r="30">
      <c r="B30" s="6" t="inlineStr">
        <is>
          <t>Margen TARGET (socio fundador del carril)</t>
        </is>
      </c>
      <c r="C30" s="12" t="n">
        <v>0.6</v>
      </c>
      <c r="D30" s="8" t="inlineStr">
        <is>
          <t>%</t>
        </is>
      </c>
      <c r="E30" s="9" t="inlineStr">
        <is>
          <t>Honesto pero no regalado. Es tu ancla de apertura.</t>
        </is>
      </c>
    </row>
    <row r="31">
      <c r="B31" s="6" t="inlineStr">
        <is>
          <t>Plazo del mandato</t>
        </is>
      </c>
      <c r="C31" s="7" t="n">
        <v>9</v>
      </c>
      <c r="D31" s="8" t="inlineStr">
        <is>
          <t>meses</t>
        </is>
      </c>
      <c r="E31" s="9" t="inlineStr">
        <is>
          <t>Exclusiva por plazo definido (propuesta §8).</t>
        </is>
      </c>
    </row>
    <row r="32">
      <c r="B32" s="6" t="inlineStr">
        <is>
          <t>Descuento socio fundador vs tarifa futura</t>
        </is>
      </c>
      <c r="C32" s="12" t="n">
        <v>0.3</v>
      </c>
      <c r="D32" s="8" t="inlineStr">
        <is>
          <t>%</t>
        </is>
      </c>
      <c r="E32" s="9" t="inlineStr">
        <is>
          <t>Lo que reconoces por ser el primer edificio (propuesta §6).</t>
        </is>
      </c>
    </row>
    <row r="34">
      <c r="B34" s="3" t="inlineStr">
        <is>
          <t>⚠ Ninguna cifra de arriba es un dato medido. Son HIPOTESIS de arranque: reemplazalas con tus</t>
        </is>
      </c>
    </row>
    <row r="35">
      <c r="B35" s="13" t="inlineStr">
        <is>
          <t>numeros reales antes del miercoles. El unico medible con precision HOY: el costo de inferencia.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56" customWidth="1" min="4" max="4"/>
  </cols>
  <sheetData>
    <row r="2">
      <c r="B2" s="1" t="inlineStr">
        <is>
          <t>COSTO DE SERVIR — MAKLO</t>
        </is>
      </c>
    </row>
    <row r="3">
      <c r="B3" s="2" t="inlineStr">
        <is>
          <t>Formula heredada de pricing-detalle.md §4.1: Fijo + Variable_por_lead x N + Soporte</t>
        </is>
      </c>
    </row>
    <row r="5">
      <c r="B5" s="4" t="inlineStr">
        <is>
          <t>A · MONTAJE (una sola vez)</t>
        </is>
      </c>
      <c r="C5" s="5" t="inlineStr">
        <is>
          <t>USD</t>
        </is>
      </c>
      <c r="D5" s="4" t="inlineStr">
        <is>
          <t>Composicion</t>
        </is>
      </c>
    </row>
    <row r="6">
      <c r="B6" s="6" t="inlineStr">
        <is>
          <t>Montaje del storefront</t>
        </is>
      </c>
      <c r="C6" s="14">
        <f>Supuestos!C13*Supuestos!C7</f>
        <v/>
      </c>
      <c r="D6" s="9" t="inlineStr">
        <is>
          <t>horas montaje x tarifa-hora</t>
        </is>
      </c>
    </row>
    <row r="7">
      <c r="B7" s="6" t="inlineStr">
        <is>
          <t>Carga de fichas por unidad</t>
        </is>
      </c>
      <c r="C7" s="14">
        <f>Supuestos!C14*Supuestos!C15*Supuestos!C7</f>
        <v/>
      </c>
      <c r="D7" s="9" t="inlineStr">
        <is>
          <t>unidades x h/unidad x tarifa-hora</t>
        </is>
      </c>
    </row>
    <row r="8">
      <c r="B8" s="6" t="inlineStr">
        <is>
          <t>Verificacion en terreno</t>
        </is>
      </c>
      <c r="C8" s="14">
        <f>Supuestos!C16*Supuestos!C7</f>
        <v/>
      </c>
      <c r="D8" s="9" t="inlineStr">
        <is>
          <t>horas verificacion x tarifa-hora</t>
        </is>
      </c>
    </row>
    <row r="9">
      <c r="B9" s="6" t="inlineStr">
        <is>
          <t>Transporte / logistica</t>
        </is>
      </c>
      <c r="C9" s="14">
        <f>Supuestos!C17</f>
        <v/>
      </c>
      <c r="D9" s="9" t="inlineStr">
        <is>
          <t>gasto directo</t>
        </is>
      </c>
    </row>
    <row r="10">
      <c r="B10" s="6" t="inlineStr">
        <is>
          <t>Entrenamiento del agente</t>
        </is>
      </c>
      <c r="C10" s="14">
        <f>Supuestos!C18*Supuestos!C7</f>
        <v/>
      </c>
      <c r="D10" s="9" t="inlineStr">
        <is>
          <t>horas entrenamiento x tarifa-hora</t>
        </is>
      </c>
    </row>
    <row r="11">
      <c r="B11" s="6" t="inlineStr">
        <is>
          <t>QR / valla</t>
        </is>
      </c>
      <c r="C11" s="14">
        <f>Supuestos!C19</f>
        <v/>
      </c>
      <c r="D11" s="9" t="inlineStr">
        <is>
          <t>gasto directo</t>
        </is>
      </c>
    </row>
    <row r="12">
      <c r="B12" s="15" t="inlineStr">
        <is>
          <t>COSTO TOTAL DE MONTAJE</t>
        </is>
      </c>
      <c r="C12" s="16">
        <f>SUM(C6:C11)</f>
        <v/>
      </c>
      <c r="D12" s="17" t="inlineStr">
        <is>
          <t>Tu PISO del setup (antes de margen)</t>
        </is>
      </c>
    </row>
    <row r="14">
      <c r="B14" s="4" t="inlineStr">
        <is>
          <t>B · OPERACION (por mes)</t>
        </is>
      </c>
      <c r="C14" s="5" t="inlineStr">
        <is>
          <t>USD</t>
        </is>
      </c>
      <c r="D14" s="4" t="inlineStr">
        <is>
          <t>Composicion</t>
        </is>
      </c>
    </row>
    <row r="15">
      <c r="B15" s="6" t="inlineStr">
        <is>
          <t>Inferencia del agente</t>
        </is>
      </c>
      <c r="C15" s="14">
        <f>Supuestos!C22*Supuestos!C9</f>
        <v/>
      </c>
      <c r="D15" s="9" t="inlineStr">
        <is>
          <t>conversaciones/mes x costo por conversacion</t>
        </is>
      </c>
    </row>
    <row r="16">
      <c r="B16" s="6" t="inlineStr">
        <is>
          <t>COGS WhatsApp</t>
        </is>
      </c>
      <c r="C16" s="14">
        <f>Supuestos!C22*Supuestos!C10</f>
        <v/>
      </c>
      <c r="D16" s="9" t="inlineStr">
        <is>
          <t>conversaciones/mes x costo Meta (desde oct-2026)</t>
        </is>
      </c>
    </row>
    <row r="17">
      <c r="B17" s="6" t="inlineStr">
        <is>
          <t>Infra asignable</t>
        </is>
      </c>
      <c r="C17" s="14">
        <f>Supuestos!C8</f>
        <v/>
      </c>
      <c r="D17" s="9" t="inlineStr">
        <is>
          <t>hosting + DB + dominio</t>
        </is>
      </c>
    </row>
    <row r="18">
      <c r="B18" s="6" t="inlineStr">
        <is>
          <t>Operacion de campana</t>
        </is>
      </c>
      <c r="C18" s="14">
        <f>Supuestos!C23*Supuestos!C7</f>
        <v/>
      </c>
      <c r="D18" s="9" t="inlineStr">
        <is>
          <t>horas/mes x tarifa-hora</t>
        </is>
      </c>
    </row>
    <row r="19">
      <c r="B19" s="6" t="inlineStr">
        <is>
          <t>Reporte semanal</t>
        </is>
      </c>
      <c r="C19" s="14">
        <f>Supuestos!C24*Supuestos!C7</f>
        <v/>
      </c>
      <c r="D19" s="9" t="inlineStr">
        <is>
          <t>horas/mes x tarifa-hora</t>
        </is>
      </c>
    </row>
    <row r="20">
      <c r="B20" s="6" t="inlineStr">
        <is>
          <t>Re-verificacion periodica</t>
        </is>
      </c>
      <c r="C20" s="14">
        <f>Supuestos!C25*Supuestos!C7</f>
        <v/>
      </c>
      <c r="D20" s="9" t="inlineStr">
        <is>
          <t>horas/mes x tarifa-hora</t>
        </is>
      </c>
    </row>
    <row r="21">
      <c r="B21" s="6" t="inlineStr">
        <is>
          <t>Soporte y coordinacion</t>
        </is>
      </c>
      <c r="C21" s="14">
        <f>Supuestos!C26*Supuestos!C7</f>
        <v/>
      </c>
      <c r="D21" s="9" t="inlineStr">
        <is>
          <t>horas/mes x tarifa-hora</t>
        </is>
      </c>
    </row>
    <row r="22">
      <c r="B22" s="15" t="inlineStr">
        <is>
          <t>COSTO TOTAL MENSUAL</t>
        </is>
      </c>
      <c r="C22" s="16">
        <f>SUM(C15:C21)</f>
        <v/>
      </c>
      <c r="D22" s="17" t="inlineStr">
        <is>
          <t>Tu PISO del mensual (antes de margen)</t>
        </is>
      </c>
    </row>
    <row r="24">
      <c r="B24" s="4" t="inlineStr">
        <is>
          <t>C · TOTAL DEL MANDATO</t>
        </is>
      </c>
      <c r="C24" s="5" t="inlineStr">
        <is>
          <t>USD</t>
        </is>
      </c>
      <c r="D24" s="4" t="inlineStr">
        <is>
          <t>Composicion</t>
        </is>
      </c>
    </row>
    <row r="25">
      <c r="B25" s="6" t="inlineStr">
        <is>
          <t>Horas totales comprometidas (montaje)</t>
        </is>
      </c>
      <c r="C25" s="18">
        <f>Supuestos!C13+Supuestos!C14*Supuestos!C15+Supuestos!C16+Supuestos!C18</f>
        <v/>
      </c>
      <c r="D25" s="9" t="inlineStr">
        <is>
          <t>suma de horas one-time</t>
        </is>
      </c>
    </row>
    <row r="26">
      <c r="B26" s="6" t="inlineStr">
        <is>
          <t>Horas totales comprometidas (operacion)</t>
        </is>
      </c>
      <c r="C26" s="18">
        <f>(Supuestos!C23+Supuestos!C24+Supuestos!C25+Supuestos!C26)*Supuestos!C31</f>
        <v/>
      </c>
      <c r="D26" s="9" t="inlineStr">
        <is>
          <t>horas/mes x plazo</t>
        </is>
      </c>
    </row>
    <row r="27">
      <c r="B27" s="15" t="inlineStr">
        <is>
          <t>COSTO TOTAL DEL MANDATO</t>
        </is>
      </c>
      <c r="C27" s="16">
        <f>C12+C22*Supuestos!C31</f>
        <v/>
      </c>
      <c r="D27" s="17" t="inlineStr">
        <is>
          <t>montaje + (mensual x plazo)</t>
        </is>
      </c>
    </row>
    <row r="29">
      <c r="B29" s="3" t="inlineStr">
        <is>
          <t>Verificacion de realidad: ¿esas horas totales caben en tu semana junto al piloto PYME y el CRM?</t>
        </is>
      </c>
    </row>
    <row r="30">
      <c r="B30" s="2" t="inlineStr">
        <is>
          <t>Riesgo #3 del PREP (CAPACIDAD): si MAKLO pasa al frente es una DECISION registrada, no inercia.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7" customWidth="1" min="3" max="3"/>
    <col width="17" customWidth="1" min="4" max="4"/>
    <col width="54" customWidth="1" min="5" max="5"/>
  </cols>
  <sheetData>
    <row r="2">
      <c r="B2" s="1" t="inlineStr">
        <is>
          <t>LOS 3 NUMEROS — llevalos MEMORIZADOS a la mesa</t>
        </is>
      </c>
    </row>
    <row r="3">
      <c r="B3" s="2" t="inlineStr">
        <is>
          <t>Regla de mesa #2: cero montos en el doc presentable. El ancla la ponemos NOSOTROS, verbalmente.</t>
        </is>
      </c>
    </row>
    <row r="5">
      <c r="B5" s="19" t="inlineStr">
        <is>
          <t>Escenario</t>
        </is>
      </c>
      <c r="C5" s="5" t="inlineStr">
        <is>
          <t>Setup (una vez)</t>
        </is>
      </c>
      <c r="D5" s="5" t="inlineStr">
        <is>
          <t>Mensual</t>
        </is>
      </c>
      <c r="E5" s="19" t="inlineStr">
        <is>
          <t>Cuando se usa / que protege</t>
        </is>
      </c>
    </row>
    <row r="6">
      <c r="B6" s="20" t="inlineStr">
        <is>
          <t>COSTO (sin margen)</t>
        </is>
      </c>
      <c r="C6" s="21">
        <f>'Costo de servir'!C12</f>
        <v/>
      </c>
      <c r="D6" s="21">
        <f>'Costo de servir'!C22</f>
        <v/>
      </c>
      <c r="E6" s="9" t="inlineStr">
        <is>
          <t>Lo que te cuesta servir. Nunca se dice en voz alta.</t>
        </is>
      </c>
    </row>
    <row r="7">
      <c r="B7" s="22" t="inlineStr">
        <is>
          <t>🔴 WALK-AWAY</t>
        </is>
      </c>
      <c r="C7" s="23">
        <f>'Costo de servir'!C12</f>
        <v/>
      </c>
      <c r="D7" s="23">
        <f>'Costo de servir'!C22</f>
        <v/>
      </c>
      <c r="E7" s="24" t="inlineStr">
        <is>
          <t>Por debajo trabajas gratis o a perdida. Te levantas de la mesa.</t>
        </is>
      </c>
    </row>
    <row r="8">
      <c r="B8" s="25" t="inlineStr">
        <is>
          <t>🟡 PISO (minimo aceptable)</t>
        </is>
      </c>
      <c r="C8" s="26">
        <f>'Costo de servir'!C12*(1+Supuestos!C29)</f>
        <v/>
      </c>
      <c r="D8" s="26">
        <f>'Costo de servir'!C22*(1+Supuestos!C29)</f>
        <v/>
      </c>
      <c r="E8" s="27" t="inlineStr">
        <is>
          <t>Tu ultimo movimiento. No se baja de aqui bajo ninguna presion.</t>
        </is>
      </c>
    </row>
    <row r="9">
      <c r="B9" s="28" t="inlineStr">
        <is>
          <t>🟢 TARGET (socio fundador)</t>
        </is>
      </c>
      <c r="C9" s="29">
        <f>'Costo de servir'!C12*(1+Supuestos!C30)</f>
        <v/>
      </c>
      <c r="D9" s="29">
        <f>'Costo de servir'!C22*(1+Supuestos!C30)</f>
        <v/>
      </c>
      <c r="E9" s="30" t="inlineStr">
        <is>
          <t>TU ANCLA DE APERTURA. El primer numero que decis en la mesa.</t>
        </is>
      </c>
    </row>
    <row r="10">
      <c r="B10" s="31" t="inlineStr">
        <is>
          <t>Tarifa futura (no-fundador)</t>
        </is>
      </c>
      <c r="C10" s="32">
        <f>C9/(1-Supuestos!C32)</f>
        <v/>
      </c>
      <c r="D10" s="32">
        <f>D9/(1-Supuestos!C32)</f>
        <v/>
      </c>
      <c r="E10" s="9" t="inlineStr">
        <is>
          <t>Lo que costara al 2do cliente. Hace VISIBLE el descuento de socio fundador.</t>
        </is>
      </c>
    </row>
    <row r="12">
      <c r="B12" s="33" t="inlineStr">
        <is>
          <t>VALOR TOTAL DEL MANDATO (para tu cabeza, no para la mesa)</t>
        </is>
      </c>
    </row>
    <row r="13">
      <c r="B13" s="4" t="inlineStr">
        <is>
          <t>Escenario</t>
        </is>
      </c>
      <c r="C13" s="4" t="inlineStr">
        <is>
          <t>Ingreso total</t>
        </is>
      </c>
      <c r="D13" s="4" t="inlineStr">
        <is>
          <t>Margen $</t>
        </is>
      </c>
      <c r="E13" s="4" t="inlineStr">
        <is>
          <t>Lectura</t>
        </is>
      </c>
    </row>
    <row r="14">
      <c r="B14" s="6" t="inlineStr">
        <is>
          <t>Si cierra en PISO</t>
        </is>
      </c>
      <c r="C14" s="14">
        <f>C8+D8*Supuestos!C31</f>
        <v/>
      </c>
      <c r="D14" s="14">
        <f>C14-'Costo de servir'!C27</f>
        <v/>
      </c>
      <c r="E14" s="9" t="inlineStr">
        <is>
          <t>Sobrevivis. No crecas.</t>
        </is>
      </c>
    </row>
    <row r="15">
      <c r="B15" s="6" t="inlineStr">
        <is>
          <t>Si cierra en TARGET</t>
        </is>
      </c>
      <c r="C15" s="14">
        <f>C9+D9*Supuestos!C31</f>
        <v/>
      </c>
      <c r="D15" s="14">
        <f>C15-'Costo de servir'!C27</f>
        <v/>
      </c>
      <c r="E15" s="9" t="inlineStr">
        <is>
          <t>El carril arranca sano.</t>
        </is>
      </c>
    </row>
    <row r="17">
      <c r="B17" s="2" t="inlineStr">
        <is>
          <t>Ingreso total = setup + (mensual x plazo). El componente variable (fee por visita calificada</t>
        </is>
      </c>
    </row>
    <row r="18">
      <c r="B18" s="2" t="inlineStr">
        <is>
          <t>confirmada) NO esta modelado: es palanca de negociacion, no base de ingreso.</t>
        </is>
      </c>
    </row>
    <row r="20">
      <c r="B20" s="33" t="inlineStr">
        <is>
          <t>LAS 4 CONDICIONES DE WALK-AWAY (no son numeros)</t>
        </is>
      </c>
    </row>
    <row r="21">
      <c r="B21" s="22" t="inlineStr">
        <is>
          <t>1. Condicionan el mandato a que invirtamos</t>
        </is>
      </c>
      <c r="C21" s="24" t="inlineStr">
        <is>
          <t>Regla escrita §2 del PREP. Mesas separadas, sin excepcion. 🔴</t>
        </is>
      </c>
      <c r="D21" s="34" t="n"/>
      <c r="E21" s="34" t="n"/>
    </row>
    <row r="22">
      <c r="B22" s="22" t="inlineStr">
        <is>
          <t>2. Exigen % de venta o 'cobrame solo si vendes'</t>
        </is>
      </c>
      <c r="C22" s="24" t="inlineStr">
        <is>
          <t>Nos vuelve el intermediario que ELLOS decidieron eliminar. 🔴</t>
        </is>
      </c>
      <c r="D22" s="34" t="n"/>
      <c r="E22" s="34" t="n"/>
    </row>
    <row r="23">
      <c r="B23" s="22" t="inlineStr">
        <is>
          <t>3. Piden ranking preferente en la app de Contexto</t>
        </is>
      </c>
      <c r="C23" s="24" t="inlineStr">
        <is>
          <t>Rompe la neutralidad = rompe el activo. 🔴</t>
        </is>
      </c>
      <c r="D23" s="34" t="n"/>
      <c r="E23" s="34" t="n"/>
    </row>
    <row r="24">
      <c r="B24" s="22" t="inlineStr">
        <is>
          <t>4. Sin presupuesto de pauta sostenible</t>
        </is>
      </c>
      <c r="C24" s="24" t="inlineStr">
        <is>
          <t>Regla de mesa #3: sin presupuesto de demanda no hay mandato. 🔴</t>
        </is>
      </c>
      <c r="D24" s="34" t="n"/>
      <c r="E24" s="34" t="n"/>
    </row>
  </sheetData>
  <mergeCells count="4">
    <mergeCell ref="C21:E21"/>
    <mergeCell ref="C23:E23"/>
    <mergeCell ref="C22:E22"/>
    <mergeCell ref="C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56" customWidth="1" min="4" max="4"/>
  </cols>
  <sheetData>
    <row r="2">
      <c r="B2" s="1" t="inlineStr">
        <is>
          <t>ANCLA DE VALOR — se llena EN la mesa (primera parte, 80/20)</t>
        </is>
      </c>
    </row>
    <row r="3">
      <c r="B3" s="2" t="inlineStr">
        <is>
          <t>PREP §1: el benchmark NO es el 3-4% de la comercializadora (ese ya se lo regalaron al comprador).</t>
        </is>
      </c>
    </row>
    <row r="4">
      <c r="B4" s="3" t="inlineStr">
        <is>
          <t>Es lo que les costo vender el proyecto 1 ELLOS MISMOS. Su evidencia, no nuestra opinion.</t>
        </is>
      </c>
    </row>
    <row r="6">
      <c r="B6" s="4" t="inlineStr">
        <is>
          <t>Pregunta (en sus palabras)</t>
        </is>
      </c>
      <c r="C6" s="4" t="inlineStr">
        <is>
          <t>Respuesta</t>
        </is>
      </c>
      <c r="D6" s="4" t="inlineStr">
        <is>
          <t>Por que importa</t>
        </is>
      </c>
    </row>
    <row r="7">
      <c r="B7" s="6" t="inlineStr">
        <is>
          <t>¿Cuantas unidades tuvo el proyecto 1?</t>
        </is>
      </c>
      <c r="C7" s="7" t="n"/>
      <c r="D7" s="9" t="inlineStr">
        <is>
          <t>Base de comparacion.</t>
        </is>
      </c>
    </row>
    <row r="8">
      <c r="B8" s="6" t="inlineStr">
        <is>
          <t>¿Cuanto tardaron en venderlo todo? (meses)</t>
        </is>
      </c>
      <c r="C8" s="7" t="n"/>
      <c r="D8" s="9" t="inlineStr">
        <is>
          <t>El costo del tiempo es el ancla real.</t>
        </is>
      </c>
    </row>
    <row r="9">
      <c r="B9" s="6" t="inlineStr">
        <is>
          <t>¿Quien vendia? ¿cuantas horas/semana le metian?</t>
        </is>
      </c>
      <c r="C9" s="7" t="n"/>
      <c r="D9" s="9" t="inlineStr">
        <is>
          <t>Convierte su dolor en horas medibles.</t>
        </is>
      </c>
    </row>
    <row r="10">
      <c r="B10" s="6" t="inlineStr">
        <is>
          <t>¿Que gastaron en pauta/marketing en total?</t>
        </is>
      </c>
      <c r="C10" s="7" t="n"/>
      <c r="D10" s="9" t="inlineStr">
        <is>
          <t>Su baseline de inversion en demanda.</t>
        </is>
      </c>
    </row>
    <row r="11">
      <c r="B11" s="6" t="inlineStr">
        <is>
          <t>¿Tienen lista de interesados que no compraron?</t>
        </is>
      </c>
      <c r="C11" s="7" t="n"/>
      <c r="D11" s="9" t="inlineStr">
        <is>
          <t>REACTIVACION ~$0 — la pregunta #1 del playbook.</t>
        </is>
      </c>
    </row>
    <row r="12">
      <c r="B12" s="6" t="inlineStr">
        <is>
          <t>¿Cuanto costo el credito puente por cada mes extra?</t>
        </is>
      </c>
      <c r="C12" s="7" t="n"/>
      <c r="D12" s="9" t="inlineStr">
        <is>
          <t>El costo financiero de vender lento (suelen olvidarlo).</t>
        </is>
      </c>
    </row>
    <row r="13">
      <c r="B13" s="6" t="inlineStr">
        <is>
          <t>¿Presupuesto de pauta mensual sostenible?</t>
        </is>
      </c>
      <c r="C13" s="7" t="n"/>
      <c r="D13" s="9" t="inlineStr">
        <is>
          <t>Sin esto NO hay mandato (regla de mesa #3).</t>
        </is>
      </c>
    </row>
    <row r="14">
      <c r="B14" s="6" t="inlineStr">
        <is>
          <t>¿Precio por unidad y beneficio al comprador (%)?</t>
        </is>
      </c>
      <c r="C14" s="7" t="n"/>
      <c r="D14" s="9" t="inlineStr">
        <is>
          <t>Define la campana y si los precios son realistas.</t>
        </is>
      </c>
    </row>
    <row r="17">
      <c r="B17" s="33" t="inlineStr">
        <is>
          <t>EL CALCULO QUE HACES EN VIVO</t>
        </is>
      </c>
    </row>
    <row r="18">
      <c r="B18" s="35" t="inlineStr">
        <is>
          <t>Meses de venta lenta x costo mensual del proyecto (credito puente + admin + su tiempo)</t>
        </is>
      </c>
    </row>
    <row r="19">
      <c r="B19" s="36">
        <f> lo que les costo NO tener una maquina. Ese numero compara contra tu fee.</f>
        <v/>
      </c>
    </row>
    <row r="21">
      <c r="B21" s="2" t="inlineStr">
        <is>
          <t>Si ese numero es MUCHO mayor que tu target (lo normal), no defendes precio: defendes ahorro.</t>
        </is>
      </c>
    </row>
    <row r="22">
      <c r="B22" s="2" t="inlineStr">
        <is>
          <t>Si es menor, el proyecto no aguanta el servicio — mejor saberlo en la mesa que en el mes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2026-07-26T16:31:47Z</dcterms:created>
  <dcterms:modified xmlns:dcterms="http://purl.org/dc/terms/" xmlns:xsi="http://www.w3.org/2001/XMLSchema-instance" xsi:type="dcterms:W3CDTF">2026-07-26T16:31:47Z</dcterms:modified>
</cp:coreProperties>
</file>